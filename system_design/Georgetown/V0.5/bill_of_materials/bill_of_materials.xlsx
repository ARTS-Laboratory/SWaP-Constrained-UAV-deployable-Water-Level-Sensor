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asifuzzaman_sc_edu/Documents/Github Repos/UAV-Deployable-Stage-Height-Sensor/system_design/Georgetown/V0.5/bill_of_materials/"/>
    </mc:Choice>
  </mc:AlternateContent>
  <xr:revisionPtr revIDLastSave="73" documentId="13_ncr:1_{68C7DE68-14CC-422B-B4F0-50A88173269E}" xr6:coauthVersionLast="47" xr6:coauthVersionMax="47" xr10:uidLastSave="{152FAEFB-A4BB-469B-BA28-EC4D5D003E9E}"/>
  <bookViews>
    <workbookView xWindow="-105" yWindow="-163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</calcChain>
</file>

<file path=xl/sharedStrings.xml><?xml version="1.0" encoding="utf-8"?>
<sst xmlns="http://schemas.openxmlformats.org/spreadsheetml/2006/main" count="88" uniqueCount="86">
  <si>
    <t>Arduino Nano</t>
  </si>
  <si>
    <t>NRF24L01+ 2.4GHz Wireless RF Transceiver Module</t>
  </si>
  <si>
    <t>NRF24L01+</t>
  </si>
  <si>
    <t xml:space="preserve"> DS3231M+</t>
  </si>
  <si>
    <t>DS3231 real-time clock</t>
  </si>
  <si>
    <t xml:space="preserve"> BME280</t>
  </si>
  <si>
    <t>BME280 environmental sensor</t>
  </si>
  <si>
    <t>INA219 current sensor</t>
  </si>
  <si>
    <t>INA219BIDR</t>
  </si>
  <si>
    <t>Neodymium Disc Magnet - 1 1/4" Dia x 3/8" Thi</t>
  </si>
  <si>
    <t>N42 permanent magnet</t>
  </si>
  <si>
    <t>Ultrasonic sensor</t>
  </si>
  <si>
    <t>Zeee 2S Lipo Battery 1500mAh 7.4V 60C with Deans Plug</t>
  </si>
  <si>
    <t>2s 7.4V LiPo battery</t>
  </si>
  <si>
    <t>CR-1025-ND</t>
  </si>
  <si>
    <t>CR-1025 3V Li+ coin cell</t>
  </si>
  <si>
    <t>BK-870</t>
  </si>
  <si>
    <t>RTC coin cell holder</t>
  </si>
  <si>
    <t>Main board</t>
  </si>
  <si>
    <t>Main PCB</t>
  </si>
  <si>
    <t>Gigastone 8GB 10-Pack Micro SD Card, Full HD Video 80MB/s Micro SDHC Class 10</t>
  </si>
  <si>
    <t>Micro SD card</t>
  </si>
  <si>
    <t>Slide switch</t>
  </si>
  <si>
    <t>L314ED</t>
  </si>
  <si>
    <t>LED</t>
  </si>
  <si>
    <t>Resistors</t>
  </si>
  <si>
    <t>ERJ-8BSJR10V RES 0.1 OHM 5\% 1/2W 1206</t>
  </si>
  <si>
    <t>Shunt resistor</t>
  </si>
  <si>
    <t xml:space="preserve"> MIC5239-5.0YS-TR</t>
  </si>
  <si>
    <t>5V regulator</t>
  </si>
  <si>
    <t xml:space="preserve"> Schedule 40 Clear Pipe, Non-threaded</t>
  </si>
  <si>
    <t>4" PVC pipe</t>
  </si>
  <si>
    <t>PRT-11864</t>
  </si>
  <si>
    <t>Dean's connector</t>
  </si>
  <si>
    <t>SSA-104-W-T</t>
  </si>
  <si>
    <t>Female HC-SR04 connector</t>
  </si>
  <si>
    <t>Total Cost</t>
  </si>
  <si>
    <t>Designator</t>
  </si>
  <si>
    <t>Component</t>
  </si>
  <si>
    <t>Amount</t>
  </si>
  <si>
    <t>Individual Cost</t>
  </si>
  <si>
    <t>Link</t>
  </si>
  <si>
    <t>https://store-usa.arduino.cc/products/arduino-nano?utm_source=google&amp;utm_medium=cpc&amp;utm_campaign=US-Pmax&amp;gad_source=1&amp;gclid=CjwKCAjw7pO_BhAlEiwA4pMQvGgjSAL_aiPDuQtjDtxsbhZPY6NtgwMyrIq1obT8kDad0uOfvd-_6xoCrvUQAvD_BwE</t>
  </si>
  <si>
    <t>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</t>
  </si>
  <si>
    <t>https://www.digikey.com/en/products/detail/analog-devices-inc-maxim-integrated/DS3231M/2402420</t>
  </si>
  <si>
    <t>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</t>
  </si>
  <si>
    <t>https://www.digikey.com/en/products/detail/texas-instruments/INA219BIDR/2426057?s=N4IgTCBcDaIJIDkCCYCMBOAQnAIgJRAF0BfIA</t>
  </si>
  <si>
    <t>https://www.kjmagnetics.com/dx46-neodymium-disc-magnet?srsltid=AfmBOor6xdKd7bOjkwacOuF57KK6eEEADTRnz0KJa9k1RQvZ_CWL3iT5</t>
  </si>
  <si>
    <t>Ultrasonic Distance Sensor - 5V (HC-SR04)</t>
  </si>
  <si>
    <t>HC-SR04</t>
  </si>
  <si>
    <t>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</t>
  </si>
  <si>
    <t>CR1025 Jauch Quartz | Battery Products | DigiKey</t>
  </si>
  <si>
    <t>BK-870 MPD (Memory Protection Devices) | Battery Products | DigiKey</t>
  </si>
  <si>
    <t>Amazon.com: GIGASTONE 8GB 10-Pack Micro SD Card, Full HD Video, Surveillance Security Cam Action Camera Drone, 85MB/s Micro SDHC Class 10 : Electronics</t>
  </si>
  <si>
    <t>L314ED American Opto Plus LED | Optoelectronics | DigiKey Marketplace</t>
  </si>
  <si>
    <t>Chip Resistor - Surface Mount | Electronic Components Distributor DigiKey</t>
  </si>
  <si>
    <t>ERJ-8BSJR10V Panasonic Electronic Components | Resistors | DigiKey</t>
  </si>
  <si>
    <t>C1206S104K5RACAUTO KEMET | Capacitors | DigiKey</t>
  </si>
  <si>
    <t>MIC5239-5.0YS-TR Microchip Technology | Integrated Circuits (ICs) | DigiKey</t>
  </si>
  <si>
    <t>PVC, Excelon, Pipe - 1ABA1|4312 - Grainger</t>
  </si>
  <si>
    <t>PRT-11864 SparkFun Electronics | Connectors, Interconnects | DigiKey</t>
  </si>
  <si>
    <t>SSA-104-W-T Samtec Inc. | Connectors, Interconnects | DigiKey</t>
  </si>
  <si>
    <t>https://oshpark.com/</t>
  </si>
  <si>
    <t>JS202011CQN</t>
  </si>
  <si>
    <t>https://www.digikey.com/en/products/detail/c-k/JS202011CQN/1640097</t>
  </si>
  <si>
    <t xml:space="preserve"> C1206S104K5RACAUTO 0.1 uF 10% 50V Ceramic Capacitor X7R 1206 (3216 Metric)</t>
  </si>
  <si>
    <t>Capacitors 0.1uF</t>
  </si>
  <si>
    <t>Capacitor 22uF</t>
  </si>
  <si>
    <t>TAJA226K006RNJ</t>
  </si>
  <si>
    <t>https://www.digikey.com/en/products/detail/kyocera-avx/TAJA226K006RNJ/1126793</t>
  </si>
  <si>
    <t>Capacitor 10uF</t>
  </si>
  <si>
    <t>https://www.digikey.com/en/products/detail/panasonic-electronic-components/ECE-A1EKS100B/2689095</t>
  </si>
  <si>
    <t>ECE-A1EKS100B</t>
  </si>
  <si>
    <t>https://www.digikey.com/en/products/detail/attend-technology/112J-TDAR-R01/17634680</t>
  </si>
  <si>
    <t>112J-TDAR-R01</t>
  </si>
  <si>
    <t>Micro SD card slot/tray</t>
  </si>
  <si>
    <t>BMS</t>
  </si>
  <si>
    <t>https://www.ebay.com/itm/122175451692?_skw=2s+7.4v+bms&amp;itmmeta=01JC4ZYQC0WA4Q7FSXJ13Q3MD7&amp;hash=item1c7239722c:g:Tl8AAOSwh1paBSP6&amp;itmprp=enc%3AAQAJAAAA8HoV3kP08IDx%2BKZ9MfhVJKmhm2qg4NGGQQ5RPtV7A4MRQayxR4iW0MximqX7LmMZocuvOg%2Bkj7bY%2FFY7qMu7waxjlzx7i3Aua7rPoZfG2qswNdC3D6v44WuJuyhFgs%2FbW%2B1b%2FOwSsOl9ps9Ogtfgp8mnRImwhLy%2FMlH%2BxSEvpfmQmrGtLZoNM3Cvu353Hg39TbaSBRlRbahefCk4cc3Tc%2BdlQIXyw7DH2wE10gGqLfD7%2BrRZQTg7g8nXFjufytwbxs8B75oJh5aihgMPCDNYjZro4oFZaFQuMO8m6ErQCu8AV0vARYiR4FIuIZcbNrziAQ%3D%3D%7Ctkp%3ABk9SR4z2-p_hZA</t>
  </si>
  <si>
    <t>HX-2S-JH10</t>
  </si>
  <si>
    <t>Solar panels</t>
  </si>
  <si>
    <t>https://www.digikey.com/en/products/detail/anysolar-ltd/SM141K06TF/14311398</t>
  </si>
  <si>
    <t>SM141K06TF</t>
  </si>
  <si>
    <t xml:space="preserve">2.54mm JST 3 pin </t>
  </si>
  <si>
    <t>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</t>
  </si>
  <si>
    <t>B3B-XH-A</t>
  </si>
  <si>
    <t>RES SMD (1k, 2K, 4.7k) OHM 1% 1/4W 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</si>
</sst>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TargetMode="External"/><Relationship Id="rId13" Type="http://schemas.openxmlformats.org/officeDocument/2006/relationships/hyperlink" Target="https://www.digikey.com/en/products/filter/chip-resistor-surface-mount/52?s=N4IgjCBcoLQCxVAYygMwIYBsDOBTANCAPZQDa4AHAGzUgC6Avg4QExkgDKAsgCIAEAJVzYAltgAuRAE70GQA" TargetMode="External"/><Relationship Id="rId18" Type="http://schemas.openxmlformats.org/officeDocument/2006/relationships/hyperlink" Target="https://www.digikey.com/en/products/detail/sparkfun-electronics/PRT-11864/6818769?s=N4IgTCBcDaIAoCUAqBaAjGgHANgCwgF0BfIA" TargetMode="External"/><Relationship Id="rId26" Type="http://schemas.openxmlformats.org/officeDocument/2006/relationships/hyperlink" Target="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" TargetMode="External"/><Relationship Id="rId3" Type="http://schemas.openxmlformats.org/officeDocument/2006/relationships/hyperlink" Target="https://www.digikey.com/en/products/detail/analog-devices-inc-maxim-integrated/DS3231M/2402420" TargetMode="External"/><Relationship Id="rId21" Type="http://schemas.openxmlformats.org/officeDocument/2006/relationships/hyperlink" Target="https://www.digikey.com/en/products/detail/c-k/JS202011CQN/1640097" TargetMode="External"/><Relationship Id="rId7" Type="http://schemas.openxmlformats.org/officeDocument/2006/relationships/hyperlink" Target="https://www.sparkfun.com/ultrasonic-distance-sensor-hc-sr04.html" TargetMode="External"/><Relationship Id="rId12" Type="http://schemas.openxmlformats.org/officeDocument/2006/relationships/hyperlink" Target="https://www.digikey.com/en/products/detail/american-opto-plus-led/L314ED/13677700?s=N4IgTCBcDaIDIGYCMAWAogERAXQL5A" TargetMode="External"/><Relationship Id="rId17" Type="http://schemas.openxmlformats.org/officeDocument/2006/relationships/hyperlink" Target="https://www.grainger.com/product/Pipe-PVC-1ABA1" TargetMode="External"/><Relationship Id="rId25" Type="http://schemas.openxmlformats.org/officeDocument/2006/relationships/hyperlink" Target="https://www.digikey.com/en/products/detail/anysolar-ltd/SM141K06TF/14311398" TargetMode="External"/><Relationship Id="rId2" Type="http://schemas.openxmlformats.org/officeDocument/2006/relationships/hyperlink" Target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TargetMode="External"/><Relationship Id="rId16" Type="http://schemas.openxmlformats.org/officeDocument/2006/relationships/hyperlink" Target="https://www.digikey.com/en/products/detail/microchip-technology/mic5239-5-0ys-tr/2346595" TargetMode="External"/><Relationship Id="rId20" Type="http://schemas.openxmlformats.org/officeDocument/2006/relationships/hyperlink" Target="https://oshpark.com/" TargetMode="External"/><Relationship Id="rId1" Type="http://schemas.openxmlformats.org/officeDocument/2006/relationships/hyperlink" Target="https://store-usa.arduino.cc/products/arduino-nano?utm_source=google&amp;utm_medium=cpc&amp;utm_campaign=US-Pmax&amp;gad_source=1&amp;gclid=CjwKCAjw7pO_BhAlEiwA4pMQvGgjSAL_aiPDuQtjDtxsbhZPY6NtgwMyrIq1obT8kDad0uOfvd-_6xoCrvUQAvD_BwE" TargetMode="External"/><Relationship Id="rId6" Type="http://schemas.openxmlformats.org/officeDocument/2006/relationships/hyperlink" Target="https://www.kjmagnetics.com/dx46-neodymium-disc-magnet?srsltid=AfmBOor6xdKd7bOjkwacOuF57KK6eEEADTRnz0KJa9k1RQvZ_CWL3iT5" TargetMode="External"/><Relationship Id="rId11" Type="http://schemas.openxmlformats.org/officeDocument/2006/relationships/hyperlink" Target="https://www.amazon.com/Gigastone-10-Pack-Surveillance-Security-Action/dp/B0876H387X/ref=asc_df_B0876H387X?mcid=a36b7487c2ef3bf38be475383d962644&amp;hvocijid=8673258576435803325-B0876H387X-&amp;hvexpln=73&amp;tag=hyprod-20&amp;linkCode=df0&amp;hvadid=721245378154&amp;hvpos=&amp;hvnetw=g&amp;hvrand=8673258576435803325&amp;hvpone=&amp;hvptwo=&amp;hvqmt=&amp;hvdev=c&amp;hvdvcmdl=&amp;hvlocint=&amp;hvlocphy=9198699&amp;hvtargid=pla-2281435181978&amp;psc=1" TargetMode="External"/><Relationship Id="rId24" Type="http://schemas.openxmlformats.org/officeDocument/2006/relationships/hyperlink" Target="https://www.digikey.com/en/products/detail/attend-technology/112J-TDAR-R01/17634680" TargetMode="External"/><Relationship Id="rId5" Type="http://schemas.openxmlformats.org/officeDocument/2006/relationships/hyperlink" Target="https://www.digikey.com/en/products/detail/texas-instruments/INA219BIDR/2426057?s=N4IgTCBcDaIJIDkCCYCMBOAQnAIgJRAF0BfIA" TargetMode="External"/><Relationship Id="rId15" Type="http://schemas.openxmlformats.org/officeDocument/2006/relationships/hyperlink" Target="https://www.digikey.com/en/products/detail/kemet/c1206s104k5racauto/10232834" TargetMode="External"/><Relationship Id="rId23" Type="http://schemas.openxmlformats.org/officeDocument/2006/relationships/hyperlink" Target="https://www.digikey.com/en/products/detail/panasonic-electronic-components/ECE-A1EKS100B/2689095" TargetMode="External"/><Relationship Id="rId10" Type="http://schemas.openxmlformats.org/officeDocument/2006/relationships/hyperlink" Target="https://www.digikey.com/en/products/detail/mpd-memory-protection-devices/bk-870/3829737" TargetMode="External"/><Relationship Id="rId19" Type="http://schemas.openxmlformats.org/officeDocument/2006/relationships/hyperlink" Target="https://www.digikey.com/en/products/detail/samtec-inc/ssa-104-w-t/1105908" TargetMode="External"/><Relationship Id="rId4" Type="http://schemas.openxmlformats.org/officeDocument/2006/relationships/hyperlink" Target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TargetMode="External"/><Relationship Id="rId9" Type="http://schemas.openxmlformats.org/officeDocument/2006/relationships/hyperlink" Target="https://www.digikey.com/en/products/detail/jauch-quartz/CR1025/16399048" TargetMode="External"/><Relationship Id="rId14" Type="http://schemas.openxmlformats.org/officeDocument/2006/relationships/hyperlink" Target="https://www.digikey.com/en/products/detail/panasonic-electronic-components/ERJ-8BSJR10V/5647718?s=N4IgTCBcDaIKICUBSBaAHAIQMpIQRgAYA1AAgTixIIDo8SB5ACQFkSBWAHQ4FIS8B6MAHU%2BYAgDYQAXQC%2BQA" TargetMode="External"/><Relationship Id="rId22" Type="http://schemas.openxmlformats.org/officeDocument/2006/relationships/hyperlink" Target="https://www.digikey.com/en/products/detail/kyocera-avx/TAJA226K006RNJ/1126793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F30"/>
  <sheetViews>
    <sheetView tabSelected="1" workbookViewId="0">
      <selection activeCell="B19" sqref="B19"/>
    </sheetView>
  </sheetViews>
  <sheetFormatPr defaultRowHeight="14.5" x14ac:dyDescent="0.35"/>
  <cols>
    <col min="1" max="1" width="25.453125" bestFit="1" customWidth="1"/>
    <col min="2" max="2" width="74" bestFit="1" customWidth="1"/>
    <col min="3" max="3" width="7.08984375" bestFit="1" customWidth="1"/>
    <col min="4" max="4" width="12.6328125" bestFit="1" customWidth="1"/>
    <col min="5" max="5" width="9" bestFit="1" customWidth="1"/>
    <col min="6" max="6" width="255.6328125" bestFit="1" customWidth="1"/>
  </cols>
  <sheetData>
    <row r="1" spans="1:6" x14ac:dyDescent="0.35">
      <c r="A1" t="s">
        <v>37</v>
      </c>
      <c r="B1" t="s">
        <v>38</v>
      </c>
      <c r="C1" t="s">
        <v>39</v>
      </c>
      <c r="D1" t="s">
        <v>40</v>
      </c>
      <c r="E1" t="s">
        <v>36</v>
      </c>
      <c r="F1" t="s">
        <v>41</v>
      </c>
    </row>
    <row r="2" spans="1:6" x14ac:dyDescent="0.35">
      <c r="A2" t="s">
        <v>0</v>
      </c>
      <c r="B2" t="s">
        <v>0</v>
      </c>
      <c r="C2">
        <v>1</v>
      </c>
      <c r="D2">
        <v>24.9</v>
      </c>
      <c r="E2">
        <v>24.9</v>
      </c>
      <c r="F2" s="1" t="s">
        <v>42</v>
      </c>
    </row>
    <row r="3" spans="1:6" x14ac:dyDescent="0.35">
      <c r="A3" t="s">
        <v>75</v>
      </c>
      <c r="B3" t="s">
        <v>74</v>
      </c>
      <c r="C3">
        <v>1</v>
      </c>
      <c r="D3">
        <v>2.5</v>
      </c>
      <c r="E3">
        <v>2.5</v>
      </c>
      <c r="F3" s="1" t="s">
        <v>73</v>
      </c>
    </row>
    <row r="4" spans="1:6" x14ac:dyDescent="0.35">
      <c r="A4" t="s">
        <v>2</v>
      </c>
      <c r="B4" t="s">
        <v>1</v>
      </c>
      <c r="C4">
        <v>1</v>
      </c>
      <c r="D4">
        <v>1.4</v>
      </c>
      <c r="E4">
        <v>1.4</v>
      </c>
      <c r="F4" s="1" t="s">
        <v>43</v>
      </c>
    </row>
    <row r="5" spans="1:6" x14ac:dyDescent="0.35">
      <c r="A5" t="s">
        <v>4</v>
      </c>
      <c r="B5" t="s">
        <v>3</v>
      </c>
      <c r="C5">
        <v>1</v>
      </c>
      <c r="D5">
        <v>12</v>
      </c>
      <c r="E5">
        <v>12</v>
      </c>
      <c r="F5" s="1" t="s">
        <v>44</v>
      </c>
    </row>
    <row r="6" spans="1:6" x14ac:dyDescent="0.35">
      <c r="A6" t="s">
        <v>6</v>
      </c>
      <c r="B6" t="s">
        <v>5</v>
      </c>
      <c r="C6">
        <v>1</v>
      </c>
      <c r="D6">
        <v>5.2450000000000001</v>
      </c>
      <c r="E6">
        <v>5.2450000000000001</v>
      </c>
      <c r="F6" s="1" t="s">
        <v>45</v>
      </c>
    </row>
    <row r="7" spans="1:6" x14ac:dyDescent="0.35">
      <c r="A7" t="s">
        <v>7</v>
      </c>
      <c r="B7" t="s">
        <v>8</v>
      </c>
      <c r="C7">
        <v>1</v>
      </c>
      <c r="D7">
        <v>2</v>
      </c>
      <c r="E7">
        <v>2</v>
      </c>
      <c r="F7" s="1" t="s">
        <v>46</v>
      </c>
    </row>
    <row r="8" spans="1:6" x14ac:dyDescent="0.35">
      <c r="A8" t="s">
        <v>10</v>
      </c>
      <c r="B8" t="s">
        <v>9</v>
      </c>
      <c r="C8">
        <v>1</v>
      </c>
      <c r="D8">
        <v>12.67</v>
      </c>
      <c r="E8">
        <v>12.67</v>
      </c>
      <c r="F8" s="1" t="s">
        <v>47</v>
      </c>
    </row>
    <row r="9" spans="1:6" x14ac:dyDescent="0.35">
      <c r="A9" t="s">
        <v>11</v>
      </c>
      <c r="B9" t="s">
        <v>49</v>
      </c>
      <c r="C9">
        <v>1</v>
      </c>
      <c r="D9">
        <v>4.5</v>
      </c>
      <c r="E9">
        <v>4.5</v>
      </c>
      <c r="F9" s="1" t="s">
        <v>48</v>
      </c>
    </row>
    <row r="10" spans="1:6" x14ac:dyDescent="0.35">
      <c r="A10" t="s">
        <v>13</v>
      </c>
      <c r="B10" t="s">
        <v>12</v>
      </c>
      <c r="C10">
        <v>1</v>
      </c>
      <c r="D10">
        <v>13.5</v>
      </c>
      <c r="E10">
        <v>13.5</v>
      </c>
      <c r="F10" s="1" t="s">
        <v>50</v>
      </c>
    </row>
    <row r="11" spans="1:6" x14ac:dyDescent="0.35">
      <c r="A11" t="s">
        <v>15</v>
      </c>
      <c r="B11" t="s">
        <v>14</v>
      </c>
      <c r="C11">
        <v>1</v>
      </c>
      <c r="D11">
        <v>1.0900000000000001</v>
      </c>
      <c r="E11">
        <v>1.0900000000000001</v>
      </c>
      <c r="F11" s="1" t="s">
        <v>51</v>
      </c>
    </row>
    <row r="12" spans="1:6" x14ac:dyDescent="0.35">
      <c r="A12" t="s">
        <v>17</v>
      </c>
      <c r="B12" t="s">
        <v>16</v>
      </c>
      <c r="C12">
        <v>1</v>
      </c>
      <c r="D12">
        <v>0.57999999999999996</v>
      </c>
      <c r="E12">
        <v>0.57999999999999996</v>
      </c>
      <c r="F12" s="1" t="s">
        <v>52</v>
      </c>
    </row>
    <row r="13" spans="1:6" x14ac:dyDescent="0.35">
      <c r="A13" t="s">
        <v>19</v>
      </c>
      <c r="B13" t="s">
        <v>18</v>
      </c>
      <c r="C13">
        <v>1</v>
      </c>
      <c r="D13">
        <v>8.23</v>
      </c>
      <c r="E13">
        <v>8.23</v>
      </c>
      <c r="F13" s="1" t="s">
        <v>62</v>
      </c>
    </row>
    <row r="14" spans="1:6" x14ac:dyDescent="0.35">
      <c r="A14" t="s">
        <v>21</v>
      </c>
      <c r="B14" t="s">
        <v>20</v>
      </c>
      <c r="C14">
        <v>1</v>
      </c>
      <c r="D14">
        <v>3</v>
      </c>
      <c r="E14">
        <v>3</v>
      </c>
      <c r="F14" s="1" t="s">
        <v>53</v>
      </c>
    </row>
    <row r="15" spans="1:6" x14ac:dyDescent="0.35">
      <c r="A15" t="s">
        <v>22</v>
      </c>
      <c r="B15" t="s">
        <v>63</v>
      </c>
      <c r="C15">
        <v>1</v>
      </c>
      <c r="D15">
        <v>0.75</v>
      </c>
      <c r="E15">
        <v>0.85</v>
      </c>
      <c r="F15" s="1" t="s">
        <v>64</v>
      </c>
    </row>
    <row r="16" spans="1:6" x14ac:dyDescent="0.35">
      <c r="A16" t="s">
        <v>24</v>
      </c>
      <c r="B16" t="s">
        <v>23</v>
      </c>
      <c r="C16">
        <v>1</v>
      </c>
      <c r="D16">
        <v>0.2</v>
      </c>
      <c r="E16">
        <v>0.2</v>
      </c>
      <c r="F16" s="1" t="s">
        <v>54</v>
      </c>
    </row>
    <row r="17" spans="1:6" x14ac:dyDescent="0.35">
      <c r="A17" t="s">
        <v>25</v>
      </c>
      <c r="B17" t="s">
        <v>85</v>
      </c>
      <c r="C17">
        <v>7</v>
      </c>
      <c r="D17">
        <v>0.1</v>
      </c>
      <c r="E17">
        <v>0.7</v>
      </c>
      <c r="F17" s="1" t="s">
        <v>55</v>
      </c>
    </row>
    <row r="18" spans="1:6" x14ac:dyDescent="0.35">
      <c r="A18" t="s">
        <v>27</v>
      </c>
      <c r="B18" t="s">
        <v>26</v>
      </c>
      <c r="C18">
        <v>1</v>
      </c>
      <c r="D18">
        <v>0.4</v>
      </c>
      <c r="E18">
        <v>0.4</v>
      </c>
      <c r="F18" s="1" t="s">
        <v>56</v>
      </c>
    </row>
    <row r="19" spans="1:6" x14ac:dyDescent="0.35">
      <c r="A19" t="s">
        <v>67</v>
      </c>
      <c r="B19" t="s">
        <v>68</v>
      </c>
      <c r="C19">
        <v>1</v>
      </c>
      <c r="D19">
        <v>0.4</v>
      </c>
      <c r="E19">
        <v>0.4</v>
      </c>
      <c r="F19" s="1" t="s">
        <v>69</v>
      </c>
    </row>
    <row r="20" spans="1:6" x14ac:dyDescent="0.35">
      <c r="A20" t="s">
        <v>70</v>
      </c>
      <c r="B20" t="s">
        <v>72</v>
      </c>
      <c r="C20">
        <v>1</v>
      </c>
      <c r="D20">
        <v>1</v>
      </c>
      <c r="E20">
        <v>0.2</v>
      </c>
      <c r="F20" s="1" t="s">
        <v>71</v>
      </c>
    </row>
    <row r="21" spans="1:6" x14ac:dyDescent="0.35">
      <c r="A21" t="s">
        <v>66</v>
      </c>
      <c r="B21" t="s">
        <v>65</v>
      </c>
      <c r="C21">
        <v>4</v>
      </c>
      <c r="D21">
        <v>0.42</v>
      </c>
      <c r="E21">
        <v>1.68</v>
      </c>
      <c r="F21" s="1" t="s">
        <v>57</v>
      </c>
    </row>
    <row r="22" spans="1:6" x14ac:dyDescent="0.35">
      <c r="A22" t="s">
        <v>29</v>
      </c>
      <c r="B22" t="s">
        <v>28</v>
      </c>
      <c r="C22">
        <v>1</v>
      </c>
      <c r="D22">
        <v>3.58</v>
      </c>
      <c r="E22">
        <v>3.58</v>
      </c>
      <c r="F22" s="1" t="s">
        <v>58</v>
      </c>
    </row>
    <row r="23" spans="1:6" x14ac:dyDescent="0.35">
      <c r="A23" t="s">
        <v>31</v>
      </c>
      <c r="B23" t="s">
        <v>30</v>
      </c>
      <c r="C23">
        <v>1</v>
      </c>
      <c r="D23">
        <v>6.54</v>
      </c>
      <c r="E23">
        <v>6.54</v>
      </c>
      <c r="F23" s="1" t="s">
        <v>59</v>
      </c>
    </row>
    <row r="24" spans="1:6" x14ac:dyDescent="0.35">
      <c r="A24" t="s">
        <v>33</v>
      </c>
      <c r="B24" t="s">
        <v>32</v>
      </c>
      <c r="C24">
        <v>1</v>
      </c>
      <c r="D24">
        <v>1.05</v>
      </c>
      <c r="E24">
        <v>1.05</v>
      </c>
      <c r="F24" s="1" t="s">
        <v>60</v>
      </c>
    </row>
    <row r="25" spans="1:6" x14ac:dyDescent="0.35">
      <c r="A25" t="s">
        <v>35</v>
      </c>
      <c r="B25" t="s">
        <v>34</v>
      </c>
      <c r="C25">
        <v>1</v>
      </c>
      <c r="D25">
        <v>0.91</v>
      </c>
      <c r="E25">
        <v>0.91</v>
      </c>
      <c r="F25" s="1" t="s">
        <v>61</v>
      </c>
    </row>
    <row r="26" spans="1:6" x14ac:dyDescent="0.35">
      <c r="A26" t="s">
        <v>76</v>
      </c>
      <c r="B26" t="s">
        <v>78</v>
      </c>
      <c r="C26">
        <v>1</v>
      </c>
      <c r="D26">
        <v>2.15</v>
      </c>
      <c r="E26">
        <v>2.15</v>
      </c>
      <c r="F26" s="1" t="s">
        <v>77</v>
      </c>
    </row>
    <row r="27" spans="1:6" x14ac:dyDescent="0.35">
      <c r="A27" t="s">
        <v>82</v>
      </c>
      <c r="B27" t="s">
        <v>84</v>
      </c>
      <c r="C27">
        <v>1</v>
      </c>
      <c r="D27">
        <v>0.13</v>
      </c>
      <c r="E27">
        <v>0.13</v>
      </c>
      <c r="F27" s="1" t="s">
        <v>83</v>
      </c>
    </row>
    <row r="28" spans="1:6" x14ac:dyDescent="0.35">
      <c r="A28" t="s">
        <v>79</v>
      </c>
      <c r="B28" t="s">
        <v>81</v>
      </c>
      <c r="C28">
        <v>9</v>
      </c>
      <c r="D28">
        <v>7.39</v>
      </c>
      <c r="E28">
        <v>66.510000000000005</v>
      </c>
      <c r="F28" s="1" t="s">
        <v>80</v>
      </c>
    </row>
    <row r="29" spans="1:6" x14ac:dyDescent="0.35">
      <c r="F29" s="1"/>
    </row>
    <row r="30" spans="1:6" x14ac:dyDescent="0.35">
      <c r="A30" t="s">
        <v>36</v>
      </c>
      <c r="B30">
        <f>SUM(E2:E28)</f>
        <v>176.91500000000002</v>
      </c>
    </row>
  </sheetData>
  <hyperlinks>
    <hyperlink ref="F2" r:id="rId1" xr:uid="{42481F3C-D77C-4D47-8482-158A61C0337E}"/>
    <hyperlink ref="F4" r:id="rId2" display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xr:uid="{89AEDB65-21E6-41D2-A940-81A81142AD5C}"/>
    <hyperlink ref="F5" r:id="rId3" xr:uid="{E70F36E4-82C7-490A-965C-FBA0B568208C}"/>
    <hyperlink ref="F6" r:id="rId4" display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xr:uid="{04CEC65C-3665-4D25-B259-AF9E667F3BA6}"/>
    <hyperlink ref="F7" r:id="rId5" xr:uid="{C32162A2-9410-4144-B524-028EC4B0358D}"/>
    <hyperlink ref="F8" r:id="rId6" xr:uid="{23E423E1-1EBE-4115-AE06-49032C41D232}"/>
    <hyperlink ref="F9" r:id="rId7" display="https://www.sparkfun.com/ultrasonic-distance-sensor-hc-sr04.html" xr:uid="{F999829F-3DFC-4DBA-B819-1D673798FA55}"/>
    <hyperlink ref="F10" r:id="rId8" display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xr:uid="{BB8CB9D1-9310-4C54-A510-64D6DA058543}"/>
    <hyperlink ref="F11" r:id="rId9" display="https://www.digikey.com/en/products/detail/jauch-quartz/CR1025/16399048" xr:uid="{17A29435-522E-4BB5-8364-3BC77FBEB1C4}"/>
    <hyperlink ref="F12" r:id="rId10" display="https://www.digikey.com/en/products/detail/mpd-memory-protection-devices/bk-870/3829737" xr:uid="{27F9BEB5-8046-41B8-A401-6B801AA65292}"/>
    <hyperlink ref="F14" r:id="rId11" display="https://www.amazon.com/Gigastone-10-Pack-Surveillance-Security-Action/dp/B0876H387X/ref=asc_df_B0876H387X?mcid=a36b7487c2ef3bf38be475383d962644&amp;hvocijid=8673258576435803325-B0876H387X-&amp;hvexpln=73&amp;tag=hyprod-20&amp;linkCode=df0&amp;hvadid=721245378154&amp;hvpos=&amp;hvnetw=g&amp;hvrand=8673258576435803325&amp;hvpone=&amp;hvptwo=&amp;hvqmt=&amp;hvdev=c&amp;hvdvcmdl=&amp;hvlocint=&amp;hvlocphy=9198699&amp;hvtargid=pla-2281435181978&amp;psc=1" xr:uid="{3874B344-6752-4D37-A373-3C0F2F6D39FD}"/>
    <hyperlink ref="F16" r:id="rId12" display="https://www.digikey.com/en/products/detail/american-opto-plus-led/L314ED/13677700?s=N4IgTCBcDaIDIGYCMAWAogERAXQL5A" xr:uid="{EB1FB783-CD78-4F2E-ADAE-2EFC2E0C050D}"/>
    <hyperlink ref="F17" r:id="rId13" xr:uid="{1CE23A94-3355-4CE3-BD99-944097BF2C76}"/>
    <hyperlink ref="F18" r:id="rId14" display="https://www.digikey.com/en/products/detail/panasonic-electronic-components/ERJ-8BSJR10V/5647718?s=N4IgTCBcDaIKICUBSBaAHAIQMpIQRgAYA1AAgTixIIDo8SB5ACQFkSBWAHQ4FIS8B6MAHU%2BYAgDYQAXQC%2BQA" xr:uid="{435BBBC4-E5AA-4343-9940-0DAF3E021F72}"/>
    <hyperlink ref="F21" r:id="rId15" display="https://www.digikey.com/en/products/detail/kemet/c1206s104k5racauto/10232834" xr:uid="{CDDFAE49-11BE-4283-9E44-D17951ACE335}"/>
    <hyperlink ref="F22" r:id="rId16" display="https://www.digikey.com/en/products/detail/microchip-technology/mic5239-5-0ys-tr/2346595" xr:uid="{0FF0C8FA-B521-42B4-9637-4551CDF56AE0}"/>
    <hyperlink ref="F23" r:id="rId17" display="https://www.grainger.com/product/Pipe-PVC-1ABA1" xr:uid="{98BE1843-601E-422A-8251-9162A4C6D813}"/>
    <hyperlink ref="F24" r:id="rId18" display="https://www.digikey.com/en/products/detail/sparkfun-electronics/PRT-11864/6818769?s=N4IgTCBcDaIAoCUAqBaAjGgHANgCwgF0BfIA" xr:uid="{2FC61876-0275-459F-BE77-C7067ECA8C84}"/>
    <hyperlink ref="F25" r:id="rId19" display="https://www.digikey.com/en/products/detail/samtec-inc/ssa-104-w-t/1105908" xr:uid="{5CEFEAD0-E765-4C5C-8B17-4D481AAEE74F}"/>
    <hyperlink ref="F13" r:id="rId20" xr:uid="{98CBDFFF-5BC0-4691-985C-193C55CD2A4F}"/>
    <hyperlink ref="F15" r:id="rId21" xr:uid="{F40F3420-CF30-4700-92F3-040B50F37E84}"/>
    <hyperlink ref="F19" r:id="rId22" xr:uid="{CF84383E-32DC-4F7A-8B1F-D5487EDC174E}"/>
    <hyperlink ref="F20" r:id="rId23" xr:uid="{9AFC6348-0E57-4A67-A197-41D4FD45794D}"/>
    <hyperlink ref="F3" r:id="rId24" xr:uid="{132AA37F-9E12-44EF-9546-36BDCE2F9F6B}"/>
    <hyperlink ref="F28" r:id="rId25" xr:uid="{BECD5DE6-8852-4EA8-869E-7E18A46D5C74}"/>
    <hyperlink ref="F27" r:id="rId26" display="https://www.digikey.com/en/products/detail/jst-sales-america-inc/B3B-XH-A/1651046?gad_source=1&amp;gad_campaignid=20470400566&amp;gbraid=0AAAAADrbLlgCz6Py2S0va5_igHe8YH5kP&amp;gclid=Cj0KCQjwuvrBBhDcARIsAKRrkjelT39dppIYbNMYGQDQKVRAcVAnRo2gDZvSJK6NkGomAkksSe1uUHcaAmLSEALw_wcB&amp;gclsrc=aw.ds" xr:uid="{9BDFB2BD-EFF6-4DEE-BBC3-2D01594D0DB0}"/>
  </hyperlinks>
  <pageMargins left="0.7" right="0.7" top="0.75" bottom="0.75" header="0.3" footer="0.3"/>
  <pageSetup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KHAN, Asif</cp:lastModifiedBy>
  <cp:lastPrinted>2025-05-01T19:35:57Z</cp:lastPrinted>
  <dcterms:created xsi:type="dcterms:W3CDTF">2025-03-06T14:44:50Z</dcterms:created>
  <dcterms:modified xsi:type="dcterms:W3CDTF">2025-06-04T19:52:01Z</dcterms:modified>
</cp:coreProperties>
</file>